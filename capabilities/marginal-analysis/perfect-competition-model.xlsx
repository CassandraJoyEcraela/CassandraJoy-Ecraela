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jecr\Downloads\"/>
    </mc:Choice>
  </mc:AlternateContent>
  <xr:revisionPtr revIDLastSave="0" documentId="13_ncr:1_{26E2389C-147F-4DD2-826C-F41C2F01BBAD}" xr6:coauthVersionLast="47" xr6:coauthVersionMax="47" xr10:uidLastSave="{00000000-0000-0000-0000-000000000000}"/>
  <bookViews>
    <workbookView xWindow="37320" yWindow="-120" windowWidth="29040" windowHeight="15720" tabRatio="500" activeTab="2" xr2:uid="{00000000-000D-0000-FFFF-FFFF00000000}"/>
  </bookViews>
  <sheets>
    <sheet name="Inputs" sheetId="1" r:id="rId1"/>
    <sheet name="Labor &amp; Cost" sheetId="2" r:id="rId2"/>
    <sheet name="Optimization" sheetId="3" r:id="rId3"/>
  </sheets>
  <definedNames>
    <definedName name="blended_labor_rate">'Labor &amp; Cost'!$B$19</definedName>
    <definedName name="carrot_beds">Optimization!$C$6</definedName>
    <definedName name="carrot_dim_rate">Inputs!$B$37</definedName>
    <definedName name="carrot_fert_cost">Inputs!$B$36</definedName>
    <definedName name="carrot_fertilizer_cost">'Labor &amp; Cost'!$B$29</definedName>
    <definedName name="carrot_labor_hours">'Labor &amp; Cost'!$B$5</definedName>
    <definedName name="carrot_labor_hrs_wk_bed">Inputs!$B$35</definedName>
    <definedName name="carrot_max_beds">Inputs!$B$33</definedName>
    <definedName name="carrot_price">Inputs!$B$34</definedName>
    <definedName name="carrot_revenue">'Labor &amp; Cost'!$B$23</definedName>
    <definedName name="farmer_field_share">Inputs!$B$14</definedName>
    <definedName name="farmer_hours">Inputs!$B$11</definedName>
    <definedName name="farmer_hours_used">'Labor &amp; Cost'!$B$10</definedName>
    <definedName name="farmer_labor_cost">'Labor &amp; Cost'!$B$16</definedName>
    <definedName name="farmer_rate">Inputs!$B$12</definedName>
    <definedName name="farmer_salary">Inputs!$B$13</definedName>
    <definedName name="fixed_costs">Inputs!$B$7</definedName>
    <definedName name="max_workers">Inputs!$B$20</definedName>
    <definedName name="mesclun_beds">Optimization!$C$7</definedName>
    <definedName name="mesclun_dim_rate">Inputs!$B$45</definedName>
    <definedName name="mesclun_fert_cost">Inputs!$B$44</definedName>
    <definedName name="mesclun_fertilizer_cost">'Labor &amp; Cost'!$B$30</definedName>
    <definedName name="mesclun_labor_hours">'Labor &amp; Cost'!$B$6</definedName>
    <definedName name="mesclun_labor_hrs_wk_bed">Inputs!$B$43</definedName>
    <definedName name="mesclun_max_beds">Inputs!$B$41</definedName>
    <definedName name="mesclun_price">Inputs!$B$42</definedName>
    <definedName name="mesclun_revenue">'Labor &amp; Cost'!$B$24</definedName>
    <definedName name="season_weeks">Inputs!$B$5</definedName>
    <definedName name="solver_adj" localSheetId="2" hidden="1">Optimization!$C$5:$C$7</definedName>
    <definedName name="solver_cvg" localSheetId="2" hidden="1">0.000001</definedName>
    <definedName name="solver_drv" localSheetId="2" hidden="1">2</definedName>
    <definedName name="solver_eng" localSheetId="1" hidden="1">1</definedName>
    <definedName name="solver_eng" localSheetId="2" hidden="1">3</definedName>
    <definedName name="solver_est" localSheetId="2" hidden="1">1</definedName>
    <definedName name="solver_itr" localSheetId="2" hidden="1">2147483647</definedName>
    <definedName name="solver_lhs1" localSheetId="2" hidden="1">Optimization!$B$33</definedName>
    <definedName name="solver_lhs2" localSheetId="2" hidden="1">Optimization!$B$36</definedName>
    <definedName name="solver_lhs3" localSheetId="2" hidden="1">Optimization!$C$47</definedName>
    <definedName name="solver_lhs4" localSheetId="2" hidden="1">Optimization!$C$5:$C$7</definedName>
    <definedName name="solver_lhs5" localSheetId="2" hidden="1">Optimization!$C$5:$C$7</definedName>
    <definedName name="solver_lhs6" localSheetId="2" hidden="1">Optimization!$C$6</definedName>
    <definedName name="solver_lhs7" localSheetId="2" hidden="1">Optimization!$C$7</definedName>
    <definedName name="solver_lhs8" localSheetId="2" hidden="1">Optimization!$C$5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2" hidden="1">2147483647</definedName>
    <definedName name="solver_num" localSheetId="1" hidden="1">0</definedName>
    <definedName name="solver_num" localSheetId="2" hidden="1">8</definedName>
    <definedName name="solver_nwt" localSheetId="2" hidden="1">1</definedName>
    <definedName name="solver_opt" localSheetId="2" hidden="1">Optimization!$C$11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4</definedName>
    <definedName name="solver_rel5" localSheetId="2" hidden="1">3</definedName>
    <definedName name="solver_rel6" localSheetId="2" hidden="1">1</definedName>
    <definedName name="solver_rel7" localSheetId="2" hidden="1">1</definedName>
    <definedName name="solver_rel8" localSheetId="2" hidden="1">1</definedName>
    <definedName name="solver_rhs1" localSheetId="2" hidden="1">6480</definedName>
    <definedName name="solver_rhs2" localSheetId="2" hidden="1">4</definedName>
    <definedName name="solver_rhs3" localSheetId="2" hidden="1">64</definedName>
    <definedName name="solver_rhs4" localSheetId="2" hidden="1">"integer"</definedName>
    <definedName name="solver_rhs5" localSheetId="2" hidden="1">0</definedName>
    <definedName name="solver_rhs6" localSheetId="2" hidden="1">20</definedName>
    <definedName name="solver_rhs7" localSheetId="2" hidden="1">30</definedName>
    <definedName name="solver_rhs8" localSheetId="2" hidden="1">20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  <definedName name="temp_hours_used">'Labor &amp; Cost'!$B$11</definedName>
    <definedName name="temp_labor_cost">'Labor &amp; Cost'!$B$17</definedName>
    <definedName name="temp_workers_needed">'Labor &amp; Cost'!$B$12</definedName>
    <definedName name="tomato_beds">Optimization!$C$5</definedName>
    <definedName name="tomato_dim_rate">Inputs!$B$29</definedName>
    <definedName name="tomato_fert_cost">Inputs!$B$28</definedName>
    <definedName name="tomato_fertilizer_cost">'Labor &amp; Cost'!$B$28</definedName>
    <definedName name="tomato_labor_hours">'Labor &amp; Cost'!$B$4</definedName>
    <definedName name="tomato_labor_hrs_wk_bed">Inputs!$B$27</definedName>
    <definedName name="tomato_max_beds">Inputs!$B$25</definedName>
    <definedName name="tomato_price">Inputs!$B$26</definedName>
    <definedName name="tomato_revenue">'Labor &amp; Cost'!$B$22</definedName>
    <definedName name="total_beds">Inputs!$B$6</definedName>
    <definedName name="total_fertilizer_cost">'Labor &amp; Cost'!$B$31</definedName>
    <definedName name="total_labor_capacity">'Labor &amp; Cost'!$B$13</definedName>
    <definedName name="total_labor_cost">'Labor &amp; Cost'!$B$18</definedName>
    <definedName name="total_labor_hours">'Labor &amp; Cost'!$B$7</definedName>
    <definedName name="total_profit">Optimization!$C$11</definedName>
    <definedName name="total_revenue">'Labor &amp; Cost'!$B$25</definedName>
    <definedName name="worker_flat_cost">Inputs!$B$21</definedName>
    <definedName name="worker_hours_each">Inputs!$B$18</definedName>
    <definedName name="worker_rate">Inputs!$B$19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1" l="1"/>
  <c r="B19" i="1"/>
  <c r="B12" i="1"/>
  <c r="D47" i="3"/>
  <c r="D50" i="3"/>
  <c r="D49" i="3"/>
  <c r="C67" i="3"/>
  <c r="E60" i="3"/>
  <c r="E58" i="3"/>
  <c r="C58" i="3"/>
  <c r="F58" i="3" s="1"/>
  <c r="E57" i="3"/>
  <c r="C57" i="3"/>
  <c r="F57" i="3" s="1"/>
  <c r="E56" i="3"/>
  <c r="C56" i="3"/>
  <c r="F56" i="3" s="1"/>
  <c r="E55" i="3"/>
  <c r="C55" i="3"/>
  <c r="F55" i="3" s="1"/>
  <c r="D51" i="3"/>
  <c r="C51" i="3"/>
  <c r="C50" i="3"/>
  <c r="C49" i="3"/>
  <c r="D48" i="3"/>
  <c r="C48" i="3"/>
  <c r="C47" i="3"/>
  <c r="B42" i="3"/>
  <c r="B30" i="2"/>
  <c r="B29" i="2"/>
  <c r="B28" i="2"/>
  <c r="B24" i="2"/>
  <c r="B23" i="2"/>
  <c r="B22" i="2"/>
  <c r="B13" i="2"/>
  <c r="E59" i="3" s="1"/>
  <c r="B6" i="2"/>
  <c r="B32" i="3" s="1"/>
  <c r="B5" i="2"/>
  <c r="B31" i="3" s="1"/>
  <c r="B4" i="2"/>
  <c r="B25" i="2" l="1"/>
  <c r="B39" i="3" s="1"/>
  <c r="B31" i="2"/>
  <c r="B41" i="3" s="1"/>
  <c r="B30" i="3"/>
  <c r="B7" i="2"/>
  <c r="C59" i="3" s="1"/>
  <c r="F59" i="3" s="1"/>
  <c r="B10" i="2" l="1"/>
  <c r="B11" i="2"/>
  <c r="B17" i="2" s="1"/>
  <c r="B33" i="3"/>
  <c r="B16" i="2" l="1"/>
  <c r="B34" i="3"/>
  <c r="B35" i="3"/>
  <c r="B12" i="2"/>
  <c r="C60" i="3" s="1"/>
  <c r="F60" i="3" s="1"/>
  <c r="C61" i="3" s="1"/>
  <c r="B18" i="2" l="1"/>
  <c r="B19" i="2" s="1"/>
  <c r="B36" i="3"/>
  <c r="B40" i="3" l="1"/>
  <c r="C11" i="3"/>
  <c r="B4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cjecr</author>
    <author>Unknown Author</author>
  </authors>
  <commentList>
    <comment ref="B12" authorId="0" shapeId="0" xr:uid="{DF618C37-8800-4003-A9B5-1BCBDD82FB3E}">
      <text>
        <r>
          <rPr>
            <b/>
            <sz val="9"/>
            <color indexed="81"/>
            <rFont val="Tahoma"/>
            <family val="2"/>
          </rPr>
          <t>cjecr:</t>
        </r>
        <r>
          <rPr>
            <sz val="9"/>
            <color indexed="81"/>
            <rFont val="Tahoma"/>
            <family val="2"/>
          </rPr>
          <t xml:space="preserve">
CORRECTED. Was a typed 34.72, which truncated the true rate and overstated profit by about $8 at the optimum. Now derived: $50,000 x 50% / 720 hrs = $34.7222/hr. The 34.72 figure in the case brief is a rounded display value, not the underlying rate.</t>
        </r>
      </text>
    </comment>
    <comment ref="B19" authorId="1" shapeId="0" xr:uid="{00000000-0006-0000-0000-000001000000}">
      <text>
        <r>
          <rPr>
            <sz val="10"/>
            <rFont val="Arial"/>
            <family val="2"/>
          </rPr>
          <t>CORRECTED. Was a typed 17.36, which truncated the true rate and overstated profit by about $5 at the optimum. Now derived: $25,000 / 1,440 hrs = $17.3611/hr. The 17.36 figure in the case brief is a rounded display value. This cell IS now used — temp_labor_cost reads it.</t>
        </r>
      </text>
    </comment>
    <comment ref="B21" authorId="1" shapeId="0" xr:uid="{00000000-0006-0000-0000-000002000000}">
      <text>
        <r>
          <rPr>
            <sz val="10"/>
            <rFont val="Arial"/>
            <family val="2"/>
          </rPr>
          <t>Cost of one temporary worker at full utilization (1,440 hrs x $17.3611). Not present as a named range in the original spec text — add it. This cell no longer feeds temp_labor_cost directly; it now feeds worker_rate (=worker_flat_cost/worker_hours_each), and temp labor is costed hourly on hours actually used. Charging this as a lump sum per whole worker was the defect that capped the optimum at 57 beds.</t>
        </r>
      </text>
    </comment>
    <comment ref="B35" authorId="0" shapeId="0" xr:uid="{781F713D-5F24-43A0-B57A-67C098235B86}">
      <text>
        <r>
          <rPr>
            <b/>
            <sz val="9"/>
            <color indexed="81"/>
            <rFont val="Tahoma"/>
            <family val="2"/>
          </rPr>
          <t>cjecr:</t>
        </r>
        <r>
          <rPr>
            <sz val="9"/>
            <color indexed="81"/>
            <rFont val="Tahoma"/>
            <family val="2"/>
          </rPr>
          <t xml:space="preserve">
CORRECTED. Was a typed 0.833. The case brief's 0.833 is a rounded display of 5/6 = 0.8333... (50 minutes per bed per week). The truncation understated carrot labor hours by 0.39 hrs/season and overstated profit by about $7 at the optimum.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cjecr</author>
  </authors>
  <commentList>
    <comment ref="B17" authorId="0" shapeId="0" xr:uid="{C76FD061-F87C-4FCA-8E7E-8D2F8CE04803}">
      <text>
        <r>
          <rPr>
            <b/>
            <sz val="9"/>
            <color indexed="81"/>
            <rFont val="Tahoma"/>
            <family val="2"/>
          </rPr>
          <t>cjecr:</t>
        </r>
        <r>
          <rPr>
            <sz val="9"/>
            <color indexed="81"/>
            <rFont val="Tahoma"/>
            <family val="2"/>
          </rPr>
          <t xml:space="preserve">
CORRECTED. Temp labor is paid hourly at worker_rate ($17.36/hr), not as a flat $25,000 per whole worker. The $25,000 figure in the brief is the cost of one worker at full utilization (1,440 hrs x $17.36 = $25,000), not a lump sum owed for any partial use. The prior flat-cost formula charged a full $25,000 for the 4th worker's marginal hours, which artificially suppressed the optimal bed count to 57.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cjecr</author>
  </authors>
  <commentList>
    <comment ref="C5" authorId="0" shapeId="0" xr:uid="{00000000-0006-0000-0200-000001000000}">
      <text>
        <r>
          <rPr>
            <sz val="10"/>
            <rFont val="Arial"/>
            <family val="2"/>
          </rPr>
          <t>Solver changing cell. Starting value shown is one of the two required starting points (0/0/0). Set to 20/0/0 for the second run.</t>
        </r>
      </text>
    </comment>
    <comment ref="C6" authorId="0" shapeId="0" xr:uid="{00000000-0006-0000-0200-000002000000}">
      <text>
        <r>
          <rPr>
            <sz val="10"/>
            <rFont val="Arial"/>
            <family val="2"/>
          </rPr>
          <t>Solver changing cell. Starting value shown is one of the two required starting points (0/0/0). Set to 20/0/0 for the second run.</t>
        </r>
      </text>
    </comment>
    <comment ref="C7" authorId="0" shapeId="0" xr:uid="{00000000-0006-0000-0200-000003000000}">
      <text>
        <r>
          <rPr>
            <sz val="10"/>
            <rFont val="Arial"/>
            <family val="2"/>
          </rPr>
          <t>Solver changing cell. Starting value shown is one of the two required starting points (0/0/0). Set to 20/0/0 for the second run.</t>
        </r>
      </text>
    </comment>
    <comment ref="D47" authorId="1" shapeId="0" xr:uid="{387482F3-E5F9-4C5B-ABFA-6AC99AC021EB}">
      <text>
        <r>
          <rPr>
            <b/>
            <sz val="9"/>
            <color indexed="81"/>
            <rFont val="Tahoma"/>
            <family val="2"/>
          </rPr>
          <t>Tests the prediction (all 64 beds used) against the actual result. At the optimum this returns Fail: only 60 beds are planted. That is a real finding, not an error — labor cost, not bed availability, is the binding constraint. Tomatoes stop at 10 of 20 because the 10%/bed labor escalation outruns the $8,800 price, leaving 4 beds unplanted.</t>
        </r>
      </text>
    </comment>
    <comment ref="D49" authorId="0" shapeId="0" xr:uid="{00000000-0006-0000-0200-000004000000}">
      <text>
        <r>
          <rPr>
            <sz val="10"/>
            <rFont val="Arial"/>
            <family val="2"/>
          </rPr>
          <t>Your spec doesn't define a tolerance for "near." Built here as "exactly at cap" (carrot_beds = carrot_max_beds). If you intend a margin (your engagement brief mentions a 4-bed tolerance elsewhere), this formula and constant should be updated to match — worth adding to spec.md either way.</t>
        </r>
      </text>
    </comment>
    <comment ref="D50" authorId="0" shapeId="0" xr:uid="{00000000-0006-0000-0200-000005000000}">
      <text>
        <r>
          <rPr>
            <sz val="10"/>
            <rFont val="Arial"/>
            <family val="2"/>
          </rPr>
          <t>Same "near cap" ambiguity as the carrots row above — built as exact equality to the cap, not a margin.</t>
        </r>
      </text>
    </comment>
    <comment ref="D51" authorId="0" shapeId="0" xr:uid="{00000000-0006-0000-0200-000006000000}">
      <text>
        <r>
          <rPr>
            <sz val="10"/>
            <rFont val="Arial"/>
            <family val="2"/>
          </rPr>
          <t>Your spec's "Expected" column literally says "Expected" rather than restating the claimed ranking — looks like a placeholder left over from drafting. Kept as-is per your spec text; consider replacing it with "Mesclun &gt; Carrots &gt; Tomatoes" for clarity.</t>
        </r>
      </text>
    </comment>
    <comment ref="C64" authorId="1" shapeId="0" xr:uid="{70649DCF-6C50-44FB-973F-F4374B5D7827}">
      <text>
        <r>
          <rPr>
            <b/>
            <sz val="9"/>
            <color indexed="81"/>
            <rFont val="Tahoma"/>
            <family val="2"/>
          </rPr>
          <t>Source: exhaustive enumeration of all feasible integer bed combinations (tomatoes 0-20, carrots 0-20, mesclun 0-30, total &lt;=64, temp hours &lt;=5,760) against this workbook's profit formula using unrounded input rates. Global maximum profit = $42,761.66 at 10 / 20 / 30 (60 beds), which rounds to the $42,762 answer key. Second-best is 10/20/29 at $42,481.76. Use this only to confirm Solver reached the global optimum, not as a model input.</t>
        </r>
      </text>
    </comment>
  </commentList>
</comments>
</file>

<file path=xl/sharedStrings.xml><?xml version="1.0" encoding="utf-8"?>
<sst xmlns="http://schemas.openxmlformats.org/spreadsheetml/2006/main" count="203" uniqueCount="171">
  <si>
    <t>Perfect Competition — Inputs</t>
  </si>
  <si>
    <t>General Inputs</t>
  </si>
  <si>
    <t>Named Range</t>
  </si>
  <si>
    <t>Value</t>
  </si>
  <si>
    <t>Unit</t>
  </si>
  <si>
    <t>season_weeks</t>
  </si>
  <si>
    <t>weeks</t>
  </si>
  <si>
    <t>total_beds</t>
  </si>
  <si>
    <t>beds</t>
  </si>
  <si>
    <t>fixed_costs</t>
  </si>
  <si>
    <t>$</t>
  </si>
  <si>
    <t>Farmer Inputs</t>
  </si>
  <si>
    <t>farmer_hours</t>
  </si>
  <si>
    <t>hrs/season</t>
  </si>
  <si>
    <t>farmer_rate</t>
  </si>
  <si>
    <t>$/hr</t>
  </si>
  <si>
    <t>Temporary Labor Inputs</t>
  </si>
  <si>
    <t>worker_hours_each</t>
  </si>
  <si>
    <t>worker_rate</t>
  </si>
  <si>
    <t>max_workers</t>
  </si>
  <si>
    <t>workers</t>
  </si>
  <si>
    <t>worker_flat_cost</t>
  </si>
  <si>
    <t>$/worker/season</t>
  </si>
  <si>
    <t>Tomatoes</t>
  </si>
  <si>
    <t>tomato_max_beds</t>
  </si>
  <si>
    <t>tomato_price</t>
  </si>
  <si>
    <t>tomato_labor_hrs_wk_bed</t>
  </si>
  <si>
    <t>tomato_fert_cost</t>
  </si>
  <si>
    <t>tomato_dim_rate</t>
  </si>
  <si>
    <t>Carrots</t>
  </si>
  <si>
    <t>carrot_max_beds</t>
  </si>
  <si>
    <t>carrot_price</t>
  </si>
  <si>
    <t>carrot_labor_hrs_wk_bed</t>
  </si>
  <si>
    <t>carrot_fert_cost</t>
  </si>
  <si>
    <t>carrot_dim_rate</t>
  </si>
  <si>
    <t>Mesclun</t>
  </si>
  <si>
    <t>mesclun_max_beds</t>
  </si>
  <si>
    <t>mesclun_price</t>
  </si>
  <si>
    <t>mesclun_labor_hrs_wk_bed</t>
  </si>
  <si>
    <t>mesclun_fert_cost</t>
  </si>
  <si>
    <t>mesclun_dim_rate</t>
  </si>
  <si>
    <t>Perfect Competition — Labor &amp; Cost</t>
  </si>
  <si>
    <t>Crop Labor Hours</t>
  </si>
  <si>
    <t>tomato_labor_hours</t>
  </si>
  <si>
    <t>carrot_labor_hours</t>
  </si>
  <si>
    <t>mesclun_labor_hours</t>
  </si>
  <si>
    <t>total_labor_hours</t>
  </si>
  <si>
    <t>Labor Allocation</t>
  </si>
  <si>
    <t>farmer_hours_used</t>
  </si>
  <si>
    <t>temp_hours_used</t>
  </si>
  <si>
    <t>temp_workers_needed</t>
  </si>
  <si>
    <t>Reporting calculation — not a Solver decision variable.</t>
  </si>
  <si>
    <t>total_labor_capacity</t>
  </si>
  <si>
    <t>Labor Cost</t>
  </si>
  <si>
    <t>farmer_labor_cost</t>
  </si>
  <si>
    <t>temp_labor_cost</t>
  </si>
  <si>
    <t>total_labor_cost</t>
  </si>
  <si>
    <t>blended_labor_rate</t>
  </si>
  <si>
    <t>Reporting rate only — total labor $ / total labor hrs. Does not drive any cost calc.</t>
  </si>
  <si>
    <t>Revenue</t>
  </si>
  <si>
    <t>tomato_revenue</t>
  </si>
  <si>
    <t>carrot_revenue</t>
  </si>
  <si>
    <t>mesclun_revenue</t>
  </si>
  <si>
    <t>total_revenue</t>
  </si>
  <si>
    <t>Fertilizer Cost</t>
  </si>
  <si>
    <t>tomato_fertilizer_cost</t>
  </si>
  <si>
    <t>carrot_fertilizer_cost</t>
  </si>
  <si>
    <t>mesclun_fertilizer_cost</t>
  </si>
  <si>
    <t>total_fertilizer_cost</t>
  </si>
  <si>
    <t>Perfect Competition — Optimization</t>
  </si>
  <si>
    <t>Decision Variables (Solver Changing Cells)</t>
  </si>
  <si>
    <t>Meaning</t>
  </si>
  <si>
    <t>tomato_beds</t>
  </si>
  <si>
    <t>beds planted with tomatoes</t>
  </si>
  <si>
    <t>carrot_beds</t>
  </si>
  <si>
    <t>beds planted with carrots</t>
  </si>
  <si>
    <t>mesclun_beds</t>
  </si>
  <si>
    <t>beds planted with mesclun</t>
  </si>
  <si>
    <t>Objective Function</t>
  </si>
  <si>
    <t>Formula</t>
  </si>
  <si>
    <t>total_profit</t>
  </si>
  <si>
    <t>total_revenue - total_labor_cost - total_fertilizer_cost - fixed_costs</t>
  </si>
  <si>
    <t>Setting</t>
  </si>
  <si>
    <t>Note</t>
  </si>
  <si>
    <t>tomato_beds, carrot_beds, mesclun_beds</t>
  </si>
  <si>
    <t>Labor Outputs</t>
  </si>
  <si>
    <t>Tomato labor hours</t>
  </si>
  <si>
    <t>Carrot labor hours</t>
  </si>
  <si>
    <t>Mesclun labor hours</t>
  </si>
  <si>
    <t>Total labor hours</t>
  </si>
  <si>
    <t>Farmer hours used</t>
  </si>
  <si>
    <t>Temp hours used</t>
  </si>
  <si>
    <t>Temp workers needed</t>
  </si>
  <si>
    <t>Financial Outputs</t>
  </si>
  <si>
    <t>Total revenue</t>
  </si>
  <si>
    <t>Total labor cost</t>
  </si>
  <si>
    <t>Total fertilizer cost</t>
  </si>
  <si>
    <t>Fixed costs</t>
  </si>
  <si>
    <t>Total profit</t>
  </si>
  <si>
    <t>Hypothesis Test Section</t>
  </si>
  <si>
    <t>Claim</t>
  </si>
  <si>
    <t>Expected</t>
  </si>
  <si>
    <t>Actual</t>
  </si>
  <si>
    <t>Pass/Fail</t>
  </si>
  <si>
    <t>Use all 64 beds</t>
  </si>
  <si>
    <t>Yes</t>
  </si>
  <si>
    <t>Tomatoes below cap</t>
  </si>
  <si>
    <t>Carrots near cap</t>
  </si>
  <si>
    <t>Mesclun near cap</t>
  </si>
  <si>
    <t>Mesclun &gt; Carrots &gt; Tomatoes</t>
  </si>
  <si>
    <t>Live Constraint Check (point Solver at these cells)</t>
  </si>
  <si>
    <t>Constraint</t>
  </si>
  <si>
    <t>Left-hand side</t>
  </si>
  <si>
    <t>LHS value</t>
  </si>
  <si>
    <t>Op</t>
  </si>
  <si>
    <t>RHS value</t>
  </si>
  <si>
    <t>Status</t>
  </si>
  <si>
    <t>Bed capacity</t>
  </si>
  <si>
    <t>total beds planted</t>
  </si>
  <si>
    <t>&lt;=</t>
  </si>
  <si>
    <t>Tomato cap</t>
  </si>
  <si>
    <t>Carrot cap</t>
  </si>
  <si>
    <t>Mesclun cap</t>
  </si>
  <si>
    <t>Labor capacity</t>
  </si>
  <si>
    <t>Worker limit</t>
  </si>
  <si>
    <t>All constraints satisfied?</t>
  </si>
  <si>
    <t>Solver Setup — enter exactly as below in Data → Solver</t>
  </si>
  <si>
    <t>Enter this</t>
  </si>
  <si>
    <t>Set Objective</t>
  </si>
  <si>
    <t>$C$11</t>
  </si>
  <si>
    <t>Select "Max"</t>
  </si>
  <si>
    <t>By Changing Variable Cells</t>
  </si>
  <si>
    <t>$C$5:$C$7</t>
  </si>
  <si>
    <t>Constraint 1 — Bed capacity</t>
  </si>
  <si>
    <t>$C$55 &lt;= $E$55</t>
  </si>
  <si>
    <t>total beds planted &lt;= 64</t>
  </si>
  <si>
    <t>Constraint 2 — Tomato cap</t>
  </si>
  <si>
    <t>$C$5 &lt;= $E$56</t>
  </si>
  <si>
    <t>tomato_beds &lt;= 20</t>
  </si>
  <si>
    <t>Constraint 3 — Carrot cap</t>
  </si>
  <si>
    <t>$C$6 &lt;= $E$57</t>
  </si>
  <si>
    <t>carrot_beds &lt;= 20</t>
  </si>
  <si>
    <t>Constraint 4 — Mesclun cap</t>
  </si>
  <si>
    <t>$C$7 &lt;= $E$58</t>
  </si>
  <si>
    <t>mesclun_beds &lt;= 30</t>
  </si>
  <si>
    <t>Constraint 5 — Labor capacity</t>
  </si>
  <si>
    <t>$C$59 &lt;= $E$59</t>
  </si>
  <si>
    <t>Constraint 6 — Worker limit</t>
  </si>
  <si>
    <t>$C$60 &lt;= $E$60</t>
  </si>
  <si>
    <t>Constraint 7 — Non-negativity</t>
  </si>
  <si>
    <t>$C$5:$C$7 &gt;= 0</t>
  </si>
  <si>
    <t>Also tick "Make Unconstrained Variables Non-Negative"</t>
  </si>
  <si>
    <t>Constraint 8 — Integer</t>
  </si>
  <si>
    <t>$C$5:$C$7 = integer</t>
  </si>
  <si>
    <t>Choose "int" in the operator dropdown</t>
  </si>
  <si>
    <t>Select a Solving Method</t>
  </si>
  <si>
    <t>Evolutionary</t>
  </si>
  <si>
    <t>NOT GRG Nonlinear — ROUNDUP/MIN/MAX in the labor chain make the model non-smooth, so GRG returns a local point. Under Options → Evolutionary set Convergence 0.0001, Mutation Rate 0.5, Max Time without Improvement 60.</t>
  </si>
  <si>
    <t>Verification: run twice — once from 0/0/0 and once from 20/0/0 — and confirm both land on the same allocation. Check C61 reads FEASIBLE and compare C11 to the benchmark in C64.</t>
  </si>
  <si>
    <t>Global Optimum Benchmark (exhaustive enumeration)</t>
  </si>
  <si>
    <t>Benchmark tomato_beds</t>
  </si>
  <si>
    <t>Benchmark carrot_beds</t>
  </si>
  <si>
    <t>Benchmark mesclun_beds</t>
  </si>
  <si>
    <t>Solver matched benchmark?</t>
  </si>
  <si>
    <t>Hourly temp cost. The &lt;=4 worker limit is enforced as a capacity ceiling (4 x 1,440 = 5,760 temp hours) via the labor capacity constraint.</t>
  </si>
  <si>
    <t>total_labor_hours &lt;= 6,480 (= 720 farmer + 4 workers x 1,440). This also enforces the 4-worker limit, so Constraint 6 is now redundant but harmless.</t>
  </si>
  <si>
    <t>Redundant once labor capacity is enforced hourly; keep it as a readability check.</t>
  </si>
  <si>
    <t>farmer_salary</t>
  </si>
  <si>
    <t>farmer_field_share</t>
  </si>
  <si>
    <t>$/season</t>
  </si>
  <si>
    <t>share of time in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</si>
</sst>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\$#,##0.00"/>
    <numFmt numFmtId="166" formatCode="#,##0.0"/>
    <numFmt numFmtId="169" formatCode="&quot;$&quot;#,##0"/>
    <numFmt numFmtId="170" formatCode="0.0%"/>
    <numFmt numFmtId="171" formatCode="&quot;$&quot;#,##0.0000"/>
    <numFmt numFmtId="172" formatCode="0.0000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/>
    <xf numFmtId="0" fontId="5" fillId="0" borderId="1" xfId="0" applyFont="1" applyBorder="1"/>
    <xf numFmtId="1" fontId="6" fillId="0" borderId="1" xfId="0" applyNumberFormat="1" applyFont="1" applyBorder="1"/>
    <xf numFmtId="0" fontId="0" fillId="0" borderId="1" xfId="0" applyBorder="1"/>
    <xf numFmtId="164" fontId="6" fillId="0" borderId="1" xfId="0" applyNumberFormat="1" applyFont="1" applyBorder="1"/>
    <xf numFmtId="4" fontId="6" fillId="0" borderId="1" xfId="0" applyNumberFormat="1" applyFont="1" applyBorder="1"/>
    <xf numFmtId="10" fontId="6" fillId="0" borderId="1" xfId="0" applyNumberFormat="1" applyFont="1" applyBorder="1"/>
    <xf numFmtId="166" fontId="5" fillId="0" borderId="1" xfId="0" applyNumberFormat="1" applyFont="1" applyBorder="1"/>
    <xf numFmtId="1" fontId="5" fillId="0" borderId="1" xfId="0" applyNumberFormat="1" applyFont="1" applyBorder="1"/>
    <xf numFmtId="0" fontId="7" fillId="0" borderId="0" xfId="0" applyFont="1"/>
    <xf numFmtId="164" fontId="5" fillId="0" borderId="1" xfId="0" applyNumberFormat="1" applyFont="1" applyBorder="1"/>
    <xf numFmtId="165" fontId="5" fillId="0" borderId="1" xfId="0" applyNumberFormat="1" applyFont="1" applyBorder="1"/>
    <xf numFmtId="1" fontId="5" fillId="4" borderId="1" xfId="0" applyNumberFormat="1" applyFont="1" applyFill="1" applyBorder="1"/>
    <xf numFmtId="0" fontId="7" fillId="0" borderId="1" xfId="0" applyFont="1" applyBorder="1"/>
    <xf numFmtId="0" fontId="4" fillId="0" borderId="1" xfId="0" applyFont="1" applyBorder="1"/>
    <xf numFmtId="166" fontId="5" fillId="5" borderId="1" xfId="0" applyNumberFormat="1" applyFont="1" applyFill="1" applyBorder="1"/>
    <xf numFmtId="1" fontId="5" fillId="5" borderId="1" xfId="0" applyNumberFormat="1" applyFont="1" applyFill="1" applyBorder="1"/>
    <xf numFmtId="164" fontId="9" fillId="5" borderId="1" xfId="0" applyNumberFormat="1" applyFont="1" applyFill="1" applyBorder="1"/>
    <xf numFmtId="164" fontId="8" fillId="5" borderId="1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3" fontId="0" fillId="0" borderId="0" xfId="0" applyNumberFormat="1"/>
    <xf numFmtId="0" fontId="0" fillId="0" borderId="0" xfId="0" applyNumberFormat="1" applyAlignment="1">
      <alignment horizontal="center"/>
    </xf>
    <xf numFmtId="169" fontId="8" fillId="0" borderId="1" xfId="0" applyNumberFormat="1" applyFont="1" applyBorder="1"/>
    <xf numFmtId="169" fontId="11" fillId="0" borderId="0" xfId="0" applyNumberFormat="1" applyFont="1"/>
    <xf numFmtId="170" fontId="11" fillId="0" borderId="0" xfId="0" applyNumberFormat="1" applyFont="1"/>
    <xf numFmtId="171" fontId="6" fillId="0" borderId="1" xfId="0" applyNumberFormat="1" applyFont="1" applyBorder="1"/>
    <xf numFmtId="172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D34DE28-3499-4706-84B1-A6F8B996270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6698b28-0e8a-4627-af29-d0882e46a41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104D9D-876F-4623-AB3D-A4175065709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412125f-a2cf-4f7a-a25f-b6a1f38410e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opLeftCell="A9" zoomScaleNormal="100" workbookViewId="0">
      <selection activeCell="D33" sqref="D33"/>
    </sheetView>
  </sheetViews>
  <sheetFormatPr defaultColWidth="8.69140625" defaultRowHeight="14.6" x14ac:dyDescent="0.4"/>
  <cols>
    <col min="1" max="1" width="26" customWidth="1"/>
    <col min="2" max="2" width="16" customWidth="1"/>
    <col min="3" max="3" width="14" customWidth="1"/>
    <col min="4" max="4" width="46" customWidth="1"/>
  </cols>
  <sheetData>
    <row r="1" spans="1:3" ht="17.600000000000001" x14ac:dyDescent="0.4">
      <c r="A1" s="1" t="s">
        <v>0</v>
      </c>
    </row>
    <row r="3" spans="1:3" x14ac:dyDescent="0.4">
      <c r="A3" s="2" t="s">
        <v>1</v>
      </c>
      <c r="B3" s="3"/>
      <c r="C3" s="3"/>
    </row>
    <row r="4" spans="1:3" x14ac:dyDescent="0.4">
      <c r="A4" s="4" t="s">
        <v>2</v>
      </c>
      <c r="B4" s="4" t="s">
        <v>3</v>
      </c>
      <c r="C4" s="4" t="s">
        <v>4</v>
      </c>
    </row>
    <row r="5" spans="1:3" x14ac:dyDescent="0.4">
      <c r="A5" s="5" t="s">
        <v>5</v>
      </c>
      <c r="B5" s="6">
        <v>36</v>
      </c>
      <c r="C5" s="7" t="s">
        <v>6</v>
      </c>
    </row>
    <row r="6" spans="1:3" x14ac:dyDescent="0.4">
      <c r="A6" s="5" t="s">
        <v>7</v>
      </c>
      <c r="B6" s="6">
        <v>64</v>
      </c>
      <c r="C6" s="7" t="s">
        <v>8</v>
      </c>
    </row>
    <row r="7" spans="1:3" x14ac:dyDescent="0.4">
      <c r="A7" s="5" t="s">
        <v>9</v>
      </c>
      <c r="B7" s="8">
        <v>20000</v>
      </c>
      <c r="C7" s="7" t="s">
        <v>10</v>
      </c>
    </row>
    <row r="9" spans="1:3" x14ac:dyDescent="0.4">
      <c r="A9" s="2" t="s">
        <v>11</v>
      </c>
      <c r="B9" s="3"/>
      <c r="C9" s="3"/>
    </row>
    <row r="10" spans="1:3" x14ac:dyDescent="0.4">
      <c r="A10" s="4" t="s">
        <v>2</v>
      </c>
      <c r="B10" s="4" t="s">
        <v>3</v>
      </c>
      <c r="C10" s="4" t="s">
        <v>4</v>
      </c>
    </row>
    <row r="11" spans="1:3" x14ac:dyDescent="0.4">
      <c r="A11" s="5" t="s">
        <v>12</v>
      </c>
      <c r="B11" s="6">
        <v>720</v>
      </c>
      <c r="C11" s="7" t="s">
        <v>13</v>
      </c>
    </row>
    <row r="12" spans="1:3" x14ac:dyDescent="0.4">
      <c r="A12" s="5" t="s">
        <v>14</v>
      </c>
      <c r="B12" s="32">
        <f>farmer_salary*farmer_field_share/farmer_hours</f>
        <v>34.722222222222221</v>
      </c>
      <c r="C12" s="7" t="s">
        <v>15</v>
      </c>
    </row>
    <row r="13" spans="1:3" x14ac:dyDescent="0.4">
      <c r="A13" t="s">
        <v>167</v>
      </c>
      <c r="B13" s="30">
        <v>50000</v>
      </c>
      <c r="C13" t="s">
        <v>169</v>
      </c>
    </row>
    <row r="14" spans="1:3" x14ac:dyDescent="0.4">
      <c r="A14" t="s">
        <v>168</v>
      </c>
      <c r="B14" s="31">
        <v>0.5</v>
      </c>
      <c r="C14" t="s">
        <v>170</v>
      </c>
    </row>
    <row r="16" spans="1:3" x14ac:dyDescent="0.4">
      <c r="A16" s="2" t="s">
        <v>16</v>
      </c>
      <c r="B16" s="3"/>
      <c r="C16" s="3"/>
    </row>
    <row r="17" spans="1:3" x14ac:dyDescent="0.4">
      <c r="A17" s="4" t="s">
        <v>2</v>
      </c>
      <c r="B17" s="4" t="s">
        <v>3</v>
      </c>
      <c r="C17" s="4" t="s">
        <v>4</v>
      </c>
    </row>
    <row r="18" spans="1:3" x14ac:dyDescent="0.4">
      <c r="A18" s="5" t="s">
        <v>17</v>
      </c>
      <c r="B18" s="6">
        <v>1440</v>
      </c>
      <c r="C18" s="7" t="s">
        <v>13</v>
      </c>
    </row>
    <row r="19" spans="1:3" x14ac:dyDescent="0.4">
      <c r="A19" s="5" t="s">
        <v>18</v>
      </c>
      <c r="B19" s="32">
        <f>worker_flat_cost/worker_hours_each</f>
        <v>17.361111111111111</v>
      </c>
      <c r="C19" s="7" t="s">
        <v>15</v>
      </c>
    </row>
    <row r="20" spans="1:3" x14ac:dyDescent="0.4">
      <c r="A20" s="5" t="s">
        <v>19</v>
      </c>
      <c r="B20" s="6">
        <v>4</v>
      </c>
      <c r="C20" s="7" t="s">
        <v>20</v>
      </c>
    </row>
    <row r="21" spans="1:3" x14ac:dyDescent="0.4">
      <c r="A21" s="5" t="s">
        <v>21</v>
      </c>
      <c r="B21" s="8">
        <v>25000</v>
      </c>
      <c r="C21" s="7" t="s">
        <v>22</v>
      </c>
    </row>
    <row r="23" spans="1:3" x14ac:dyDescent="0.4">
      <c r="A23" s="2" t="s">
        <v>23</v>
      </c>
      <c r="B23" s="3"/>
    </row>
    <row r="24" spans="1:3" x14ac:dyDescent="0.4">
      <c r="A24" s="4" t="s">
        <v>2</v>
      </c>
      <c r="B24" s="4" t="s">
        <v>3</v>
      </c>
    </row>
    <row r="25" spans="1:3" x14ac:dyDescent="0.4">
      <c r="A25" s="5" t="s">
        <v>24</v>
      </c>
      <c r="B25" s="6">
        <v>20</v>
      </c>
    </row>
    <row r="26" spans="1:3" x14ac:dyDescent="0.4">
      <c r="A26" s="5" t="s">
        <v>25</v>
      </c>
      <c r="B26" s="8">
        <v>8800</v>
      </c>
    </row>
    <row r="27" spans="1:3" x14ac:dyDescent="0.4">
      <c r="A27" s="5" t="s">
        <v>26</v>
      </c>
      <c r="B27" s="9">
        <v>2.5</v>
      </c>
    </row>
    <row r="28" spans="1:3" x14ac:dyDescent="0.4">
      <c r="A28" s="5" t="s">
        <v>27</v>
      </c>
      <c r="B28" s="8">
        <v>880</v>
      </c>
    </row>
    <row r="29" spans="1:3" x14ac:dyDescent="0.4">
      <c r="A29" s="5" t="s">
        <v>28</v>
      </c>
      <c r="B29" s="10">
        <v>0.1</v>
      </c>
    </row>
    <row r="31" spans="1:3" x14ac:dyDescent="0.4">
      <c r="A31" s="2" t="s">
        <v>29</v>
      </c>
      <c r="B31" s="3"/>
    </row>
    <row r="32" spans="1:3" x14ac:dyDescent="0.4">
      <c r="A32" s="4" t="s">
        <v>2</v>
      </c>
      <c r="B32" s="4" t="s">
        <v>3</v>
      </c>
    </row>
    <row r="33" spans="1:2" x14ac:dyDescent="0.4">
      <c r="A33" s="5" t="s">
        <v>30</v>
      </c>
      <c r="B33" s="6">
        <v>20</v>
      </c>
    </row>
    <row r="34" spans="1:2" x14ac:dyDescent="0.4">
      <c r="A34" s="5" t="s">
        <v>31</v>
      </c>
      <c r="B34" s="8">
        <v>2094</v>
      </c>
    </row>
    <row r="35" spans="1:2" x14ac:dyDescent="0.4">
      <c r="A35" s="5" t="s">
        <v>32</v>
      </c>
      <c r="B35" s="33">
        <f>5/6</f>
        <v>0.83333333333333337</v>
      </c>
    </row>
    <row r="36" spans="1:2" x14ac:dyDescent="0.4">
      <c r="A36" s="5" t="s">
        <v>33</v>
      </c>
      <c r="B36" s="8">
        <v>440</v>
      </c>
    </row>
    <row r="37" spans="1:2" x14ac:dyDescent="0.4">
      <c r="A37" s="5" t="s">
        <v>34</v>
      </c>
      <c r="B37" s="10">
        <v>2.5000000000000001E-2</v>
      </c>
    </row>
    <row r="39" spans="1:2" x14ac:dyDescent="0.4">
      <c r="A39" s="2" t="s">
        <v>35</v>
      </c>
      <c r="B39" s="3"/>
    </row>
    <row r="40" spans="1:2" x14ac:dyDescent="0.4">
      <c r="A40" s="4" t="s">
        <v>2</v>
      </c>
      <c r="B40" s="4" t="s">
        <v>3</v>
      </c>
    </row>
    <row r="41" spans="1:2" x14ac:dyDescent="0.4">
      <c r="A41" s="5" t="s">
        <v>36</v>
      </c>
      <c r="B41" s="6">
        <v>30</v>
      </c>
    </row>
    <row r="42" spans="1:2" x14ac:dyDescent="0.4">
      <c r="A42" s="5" t="s">
        <v>37</v>
      </c>
      <c r="B42" s="8">
        <v>2700</v>
      </c>
    </row>
    <row r="43" spans="1:2" x14ac:dyDescent="0.4">
      <c r="A43" s="5" t="s">
        <v>38</v>
      </c>
      <c r="B43" s="9">
        <v>1.25</v>
      </c>
    </row>
    <row r="44" spans="1:2" x14ac:dyDescent="0.4">
      <c r="A44" s="5" t="s">
        <v>39</v>
      </c>
      <c r="B44" s="8">
        <v>880</v>
      </c>
    </row>
    <row r="45" spans="1:2" x14ac:dyDescent="0.4">
      <c r="A45" s="5" t="s">
        <v>40</v>
      </c>
      <c r="B45" s="10">
        <v>1.2500000000000001E-2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defaultColWidth="8.69140625" defaultRowHeight="14.6" x14ac:dyDescent="0.4"/>
  <cols>
    <col min="1" max="1" width="30" customWidth="1"/>
    <col min="2" max="2" width="18" customWidth="1"/>
    <col min="3" max="3" width="50" customWidth="1"/>
  </cols>
  <sheetData>
    <row r="1" spans="1:3" ht="17.600000000000001" x14ac:dyDescent="0.4">
      <c r="A1" s="1" t="s">
        <v>41</v>
      </c>
    </row>
    <row r="3" spans="1:3" x14ac:dyDescent="0.4">
      <c r="A3" s="2" t="s">
        <v>42</v>
      </c>
      <c r="B3" s="3"/>
      <c r="C3" s="3"/>
    </row>
    <row r="4" spans="1:3" x14ac:dyDescent="0.4">
      <c r="A4" s="5" t="s">
        <v>43</v>
      </c>
      <c r="B4" s="11">
        <f>tomato_beds*tomato_labor_hrs_wk_bed*season_weeks*(1+tomato_dim_rate)^tomato_beds</f>
        <v>2334.3682140900019</v>
      </c>
    </row>
    <row r="5" spans="1:3" x14ac:dyDescent="0.4">
      <c r="A5" s="5" t="s">
        <v>44</v>
      </c>
      <c r="B5" s="11">
        <f>carrot_beds*carrot_labor_hrs_wk_bed*season_weeks*(1+carrot_dim_rate)^carrot_beds</f>
        <v>983.16986417423732</v>
      </c>
    </row>
    <row r="6" spans="1:3" x14ac:dyDescent="0.4">
      <c r="A6" s="5" t="s">
        <v>45</v>
      </c>
      <c r="B6" s="11">
        <f>mesclun_beds*mesclun_labor_hrs_wk_bed*season_weeks*(1+mesclun_dim_rate)^mesclun_beds</f>
        <v>1959.6780360096488</v>
      </c>
    </row>
    <row r="7" spans="1:3" x14ac:dyDescent="0.4">
      <c r="A7" s="5" t="s">
        <v>46</v>
      </c>
      <c r="B7" s="11">
        <f>tomato_labor_hours+carrot_labor_hours+mesclun_labor_hours</f>
        <v>5277.2161142738878</v>
      </c>
    </row>
    <row r="9" spans="1:3" x14ac:dyDescent="0.4">
      <c r="A9" s="2" t="s">
        <v>47</v>
      </c>
      <c r="B9" s="3"/>
      <c r="C9" s="3"/>
    </row>
    <row r="10" spans="1:3" x14ac:dyDescent="0.4">
      <c r="A10" s="5" t="s">
        <v>48</v>
      </c>
      <c r="B10" s="11">
        <f>MIN(total_labor_hours,farmer_hours)</f>
        <v>720</v>
      </c>
    </row>
    <row r="11" spans="1:3" x14ac:dyDescent="0.4">
      <c r="A11" s="5" t="s">
        <v>49</v>
      </c>
      <c r="B11" s="11">
        <f>MAX(0,total_labor_hours-farmer_hours)</f>
        <v>4557.2161142738878</v>
      </c>
    </row>
    <row r="12" spans="1:3" x14ac:dyDescent="0.4">
      <c r="A12" s="5" t="s">
        <v>50</v>
      </c>
      <c r="B12" s="12">
        <f>IF(temp_hours_used=0,0,ROUNDUP(temp_hours_used/worker_hours_each,0))</f>
        <v>4</v>
      </c>
      <c r="C12" s="13" t="s">
        <v>51</v>
      </c>
    </row>
    <row r="13" spans="1:3" x14ac:dyDescent="0.4">
      <c r="A13" s="5" t="s">
        <v>52</v>
      </c>
      <c r="B13" s="11">
        <f>farmer_hours+(max_workers*worker_hours_each)</f>
        <v>6480</v>
      </c>
    </row>
    <row r="15" spans="1:3" x14ac:dyDescent="0.4">
      <c r="A15" s="2" t="s">
        <v>53</v>
      </c>
      <c r="B15" s="3"/>
      <c r="C15" s="3"/>
    </row>
    <row r="16" spans="1:3" x14ac:dyDescent="0.4">
      <c r="A16" s="5" t="s">
        <v>54</v>
      </c>
      <c r="B16" s="14">
        <f>farmer_hours_used*farmer_rate</f>
        <v>25000</v>
      </c>
    </row>
    <row r="17" spans="1:3" x14ac:dyDescent="0.4">
      <c r="A17" s="5" t="s">
        <v>55</v>
      </c>
      <c r="B17" s="14">
        <f>temp_hours_used*worker_rate</f>
        <v>79118.335317254998</v>
      </c>
      <c r="C17" s="13" t="s">
        <v>164</v>
      </c>
    </row>
    <row r="18" spans="1:3" x14ac:dyDescent="0.4">
      <c r="A18" s="5" t="s">
        <v>56</v>
      </c>
      <c r="B18" s="14">
        <f>farmer_labor_cost+temp_labor_cost</f>
        <v>104118.335317255</v>
      </c>
    </row>
    <row r="19" spans="1:3" x14ac:dyDescent="0.4">
      <c r="A19" s="5" t="s">
        <v>57</v>
      </c>
      <c r="B19" s="15">
        <f>IF(total_labor_hours=0,0,total_labor_cost/total_labor_hours)</f>
        <v>19.729784239010844</v>
      </c>
      <c r="C19" s="13" t="s">
        <v>58</v>
      </c>
    </row>
    <row r="21" spans="1:3" x14ac:dyDescent="0.4">
      <c r="A21" s="2" t="s">
        <v>59</v>
      </c>
      <c r="B21" s="3"/>
      <c r="C21" s="3"/>
    </row>
    <row r="22" spans="1:3" x14ac:dyDescent="0.4">
      <c r="A22" s="5" t="s">
        <v>60</v>
      </c>
      <c r="B22" s="14">
        <f>tomato_beds*tomato_price</f>
        <v>88000</v>
      </c>
    </row>
    <row r="23" spans="1:3" x14ac:dyDescent="0.4">
      <c r="A23" s="5" t="s">
        <v>61</v>
      </c>
      <c r="B23" s="14">
        <f>carrot_beds*carrot_price</f>
        <v>41880</v>
      </c>
    </row>
    <row r="24" spans="1:3" x14ac:dyDescent="0.4">
      <c r="A24" s="5" t="s">
        <v>62</v>
      </c>
      <c r="B24" s="14">
        <f>mesclun_beds*mesclun_price</f>
        <v>81000</v>
      </c>
    </row>
    <row r="25" spans="1:3" x14ac:dyDescent="0.4">
      <c r="A25" s="5" t="s">
        <v>63</v>
      </c>
      <c r="B25" s="14">
        <f>tomato_revenue+carrot_revenue+mesclun_revenue</f>
        <v>210880</v>
      </c>
    </row>
    <row r="27" spans="1:3" x14ac:dyDescent="0.4">
      <c r="A27" s="2" t="s">
        <v>64</v>
      </c>
      <c r="B27" s="3"/>
      <c r="C27" s="3"/>
    </row>
    <row r="28" spans="1:3" x14ac:dyDescent="0.4">
      <c r="A28" s="5" t="s">
        <v>65</v>
      </c>
      <c r="B28" s="14">
        <f>tomato_beds*tomato_fert_cost</f>
        <v>8800</v>
      </c>
    </row>
    <row r="29" spans="1:3" x14ac:dyDescent="0.4">
      <c r="A29" s="5" t="s">
        <v>66</v>
      </c>
      <c r="B29" s="14">
        <f>carrot_beds*carrot_fert_cost</f>
        <v>8800</v>
      </c>
    </row>
    <row r="30" spans="1:3" x14ac:dyDescent="0.4">
      <c r="A30" s="5" t="s">
        <v>67</v>
      </c>
      <c r="B30" s="14">
        <f>mesclun_beds*mesclun_fert_cost</f>
        <v>26400</v>
      </c>
    </row>
    <row r="31" spans="1:3" x14ac:dyDescent="0.4">
      <c r="A31" s="5" t="s">
        <v>68</v>
      </c>
      <c r="B31" s="14">
        <f>tomato_fertilizer_cost+carrot_fertilizer_cost+mesclun_fertilizer_cost</f>
        <v>44000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tabSelected="1" zoomScaleNormal="100" workbookViewId="0">
      <pane xSplit="1" topLeftCell="B1" activePane="topRight" state="frozen"/>
      <selection pane="topRight" activeCell="F10" sqref="F10"/>
    </sheetView>
  </sheetViews>
  <sheetFormatPr defaultColWidth="8.69140625" defaultRowHeight="14.6" x14ac:dyDescent="0.4"/>
  <cols>
    <col min="1" max="1" width="37.69140625" customWidth="1"/>
    <col min="2" max="2" width="35.921875" customWidth="1"/>
    <col min="3" max="3" width="21.53515625" customWidth="1"/>
    <col min="4" max="6" width="16.15234375" customWidth="1"/>
  </cols>
  <sheetData>
    <row r="1" spans="1:4" ht="17.600000000000001" x14ac:dyDescent="0.4">
      <c r="A1" s="1" t="s">
        <v>69</v>
      </c>
    </row>
    <row r="3" spans="1:4" x14ac:dyDescent="0.4">
      <c r="A3" s="2" t="s">
        <v>70</v>
      </c>
      <c r="B3" s="3"/>
      <c r="C3" s="3"/>
    </row>
    <row r="4" spans="1:4" x14ac:dyDescent="0.4">
      <c r="A4" s="4" t="s">
        <v>2</v>
      </c>
      <c r="B4" s="4" t="s">
        <v>71</v>
      </c>
      <c r="C4" s="4" t="s">
        <v>3</v>
      </c>
    </row>
    <row r="5" spans="1:4" x14ac:dyDescent="0.4">
      <c r="A5" s="5" t="s">
        <v>72</v>
      </c>
      <c r="B5" s="7" t="s">
        <v>73</v>
      </c>
      <c r="C5" s="16">
        <v>10</v>
      </c>
    </row>
    <row r="6" spans="1:4" x14ac:dyDescent="0.4">
      <c r="A6" s="5" t="s">
        <v>74</v>
      </c>
      <c r="B6" s="7" t="s">
        <v>75</v>
      </c>
      <c r="C6" s="16">
        <v>20</v>
      </c>
    </row>
    <row r="7" spans="1:4" x14ac:dyDescent="0.4">
      <c r="A7" s="5" t="s">
        <v>76</v>
      </c>
      <c r="B7" s="7" t="s">
        <v>77</v>
      </c>
      <c r="C7" s="16">
        <v>30</v>
      </c>
    </row>
    <row r="9" spans="1:4" x14ac:dyDescent="0.4">
      <c r="A9" s="2" t="s">
        <v>78</v>
      </c>
      <c r="B9" s="3"/>
      <c r="C9" s="3"/>
    </row>
    <row r="10" spans="1:4" x14ac:dyDescent="0.4">
      <c r="A10" s="4" t="s">
        <v>2</v>
      </c>
      <c r="B10" s="4" t="s">
        <v>79</v>
      </c>
      <c r="C10" s="4" t="s">
        <v>3</v>
      </c>
    </row>
    <row r="11" spans="1:4" x14ac:dyDescent="0.4">
      <c r="A11" s="5" t="s">
        <v>80</v>
      </c>
      <c r="B11" s="17" t="s">
        <v>81</v>
      </c>
      <c r="C11" s="29">
        <f>total_revenue-total_labor_cost-total_fertilizer_cost-fixed_costs</f>
        <v>42761.664682745002</v>
      </c>
    </row>
    <row r="13" spans="1:4" x14ac:dyDescent="0.4">
      <c r="A13" s="2" t="s">
        <v>126</v>
      </c>
      <c r="B13" s="3"/>
      <c r="C13" s="3"/>
      <c r="D13" s="3"/>
    </row>
    <row r="14" spans="1:4" x14ac:dyDescent="0.4">
      <c r="A14" s="4" t="s">
        <v>82</v>
      </c>
      <c r="B14" s="4" t="s">
        <v>127</v>
      </c>
      <c r="C14" s="4" t="s">
        <v>83</v>
      </c>
    </row>
    <row r="15" spans="1:4" x14ac:dyDescent="0.4">
      <c r="A15" s="18" t="s">
        <v>128</v>
      </c>
      <c r="B15" s="7" t="s">
        <v>129</v>
      </c>
      <c r="C15" s="17" t="s">
        <v>130</v>
      </c>
    </row>
    <row r="16" spans="1:4" x14ac:dyDescent="0.4">
      <c r="A16" s="18" t="s">
        <v>131</v>
      </c>
      <c r="B16" s="7" t="s">
        <v>132</v>
      </c>
      <c r="C16" s="17" t="s">
        <v>84</v>
      </c>
    </row>
    <row r="17" spans="1:3" x14ac:dyDescent="0.4">
      <c r="A17" s="18" t="s">
        <v>133</v>
      </c>
      <c r="B17" s="7" t="s">
        <v>134</v>
      </c>
      <c r="C17" s="17" t="s">
        <v>135</v>
      </c>
    </row>
    <row r="18" spans="1:3" x14ac:dyDescent="0.4">
      <c r="A18" s="18" t="s">
        <v>136</v>
      </c>
      <c r="B18" s="7" t="s">
        <v>137</v>
      </c>
      <c r="C18" s="17" t="s">
        <v>138</v>
      </c>
    </row>
    <row r="19" spans="1:3" x14ac:dyDescent="0.4">
      <c r="A19" s="18" t="s">
        <v>139</v>
      </c>
      <c r="B19" s="7" t="s">
        <v>140</v>
      </c>
      <c r="C19" s="17" t="s">
        <v>141</v>
      </c>
    </row>
    <row r="20" spans="1:3" x14ac:dyDescent="0.4">
      <c r="A20" s="18" t="s">
        <v>142</v>
      </c>
      <c r="B20" s="7" t="s">
        <v>143</v>
      </c>
      <c r="C20" s="17" t="s">
        <v>144</v>
      </c>
    </row>
    <row r="21" spans="1:3" x14ac:dyDescent="0.4">
      <c r="A21" s="18" t="s">
        <v>145</v>
      </c>
      <c r="B21" s="7" t="s">
        <v>146</v>
      </c>
      <c r="C21" s="17" t="s">
        <v>165</v>
      </c>
    </row>
    <row r="22" spans="1:3" x14ac:dyDescent="0.4">
      <c r="A22" s="18" t="s">
        <v>147</v>
      </c>
      <c r="B22" s="7" t="s">
        <v>148</v>
      </c>
      <c r="C22" s="17" t="s">
        <v>166</v>
      </c>
    </row>
    <row r="23" spans="1:3" x14ac:dyDescent="0.4">
      <c r="A23" s="18" t="s">
        <v>149</v>
      </c>
      <c r="B23" s="7" t="s">
        <v>150</v>
      </c>
      <c r="C23" s="17" t="s">
        <v>151</v>
      </c>
    </row>
    <row r="24" spans="1:3" x14ac:dyDescent="0.4">
      <c r="A24" s="18" t="s">
        <v>152</v>
      </c>
      <c r="B24" s="7" t="s">
        <v>153</v>
      </c>
      <c r="C24" s="17" t="s">
        <v>154</v>
      </c>
    </row>
    <row r="25" spans="1:3" x14ac:dyDescent="0.4">
      <c r="A25" s="18" t="s">
        <v>155</v>
      </c>
      <c r="B25" s="7" t="s">
        <v>156</v>
      </c>
      <c r="C25" s="17" t="s">
        <v>157</v>
      </c>
    </row>
    <row r="27" spans="1:3" x14ac:dyDescent="0.4">
      <c r="A27" s="13" t="s">
        <v>158</v>
      </c>
    </row>
    <row r="29" spans="1:3" x14ac:dyDescent="0.4">
      <c r="A29" s="2" t="s">
        <v>85</v>
      </c>
      <c r="B29" s="3"/>
      <c r="C29" s="3"/>
    </row>
    <row r="30" spans="1:3" x14ac:dyDescent="0.4">
      <c r="A30" s="7" t="s">
        <v>86</v>
      </c>
      <c r="B30" s="19">
        <f>tomato_labor_hours</f>
        <v>2334.3682140900019</v>
      </c>
    </row>
    <row r="31" spans="1:3" x14ac:dyDescent="0.4">
      <c r="A31" s="7" t="s">
        <v>87</v>
      </c>
      <c r="B31" s="19">
        <f>carrot_labor_hours</f>
        <v>983.16986417423732</v>
      </c>
    </row>
    <row r="32" spans="1:3" x14ac:dyDescent="0.4">
      <c r="A32" s="7" t="s">
        <v>88</v>
      </c>
      <c r="B32" s="19">
        <f>mesclun_labor_hours</f>
        <v>1959.6780360096488</v>
      </c>
    </row>
    <row r="33" spans="1:4" x14ac:dyDescent="0.4">
      <c r="A33" s="7" t="s">
        <v>89</v>
      </c>
      <c r="B33" s="19">
        <f>total_labor_hours</f>
        <v>5277.2161142738878</v>
      </c>
    </row>
    <row r="34" spans="1:4" x14ac:dyDescent="0.4">
      <c r="A34" s="7" t="s">
        <v>90</v>
      </c>
      <c r="B34" s="19">
        <f>farmer_hours_used</f>
        <v>720</v>
      </c>
    </row>
    <row r="35" spans="1:4" x14ac:dyDescent="0.4">
      <c r="A35" s="7" t="s">
        <v>91</v>
      </c>
      <c r="B35" s="19">
        <f>temp_hours_used</f>
        <v>4557.2161142738878</v>
      </c>
    </row>
    <row r="36" spans="1:4" x14ac:dyDescent="0.4">
      <c r="A36" s="7" t="s">
        <v>92</v>
      </c>
      <c r="B36" s="20">
        <f>temp_workers_needed</f>
        <v>4</v>
      </c>
    </row>
    <row r="38" spans="1:4" x14ac:dyDescent="0.4">
      <c r="A38" s="2" t="s">
        <v>93</v>
      </c>
      <c r="B38" s="3"/>
      <c r="C38" s="3"/>
    </row>
    <row r="39" spans="1:4" x14ac:dyDescent="0.4">
      <c r="A39" s="7" t="s">
        <v>94</v>
      </c>
      <c r="B39" s="21">
        <f>total_revenue</f>
        <v>210880</v>
      </c>
    </row>
    <row r="40" spans="1:4" x14ac:dyDescent="0.4">
      <c r="A40" s="7" t="s">
        <v>95</v>
      </c>
      <c r="B40" s="21">
        <f>total_labor_cost</f>
        <v>104118.335317255</v>
      </c>
    </row>
    <row r="41" spans="1:4" x14ac:dyDescent="0.4">
      <c r="A41" s="7" t="s">
        <v>96</v>
      </c>
      <c r="B41" s="21">
        <f>total_fertilizer_cost</f>
        <v>44000</v>
      </c>
    </row>
    <row r="42" spans="1:4" x14ac:dyDescent="0.4">
      <c r="A42" s="7" t="s">
        <v>97</v>
      </c>
      <c r="B42" s="21">
        <f>fixed_costs</f>
        <v>20000</v>
      </c>
    </row>
    <row r="43" spans="1:4" x14ac:dyDescent="0.4">
      <c r="A43" s="7" t="s">
        <v>98</v>
      </c>
      <c r="B43" s="22">
        <f>total_profit</f>
        <v>42761.664682745002</v>
      </c>
    </row>
    <row r="45" spans="1:4" x14ac:dyDescent="0.4">
      <c r="A45" s="2" t="s">
        <v>99</v>
      </c>
      <c r="B45" s="3"/>
      <c r="C45" s="3"/>
      <c r="D45" s="3"/>
    </row>
    <row r="46" spans="1:4" x14ac:dyDescent="0.4">
      <c r="A46" s="4" t="s">
        <v>100</v>
      </c>
      <c r="B46" s="4" t="s">
        <v>101</v>
      </c>
      <c r="C46" s="4" t="s">
        <v>102</v>
      </c>
      <c r="D46" s="4" t="s">
        <v>103</v>
      </c>
    </row>
    <row r="47" spans="1:4" x14ac:dyDescent="0.4">
      <c r="A47" s="7" t="s">
        <v>104</v>
      </c>
      <c r="B47" s="7" t="s">
        <v>105</v>
      </c>
      <c r="C47" s="12">
        <f>tomato_beds+carrot_beds+mesclun_beds</f>
        <v>60</v>
      </c>
      <c r="D47" s="5" t="str">
        <f>IF(tomato_beds+carrot_beds+mesclun_beds=total_beds,"Pass","Fail")</f>
        <v>Fail</v>
      </c>
    </row>
    <row r="48" spans="1:4" x14ac:dyDescent="0.4">
      <c r="A48" s="7" t="s">
        <v>106</v>
      </c>
      <c r="B48" s="7" t="s">
        <v>105</v>
      </c>
      <c r="C48" s="12">
        <f>tomato_beds</f>
        <v>10</v>
      </c>
      <c r="D48" s="5" t="str">
        <f>IF(tomato_beds&lt;tomato_max_beds,"Pass","Fail")</f>
        <v>Pass</v>
      </c>
    </row>
    <row r="49" spans="1:6" x14ac:dyDescent="0.4">
      <c r="A49" s="7" t="s">
        <v>107</v>
      </c>
      <c r="B49" s="7" t="s">
        <v>105</v>
      </c>
      <c r="C49" s="12">
        <f>carrot_beds</f>
        <v>20</v>
      </c>
      <c r="D49" s="5" t="str">
        <f>IF(carrot_beds=carrot_max_beds,"Pass","Fail")</f>
        <v>Pass</v>
      </c>
    </row>
    <row r="50" spans="1:6" x14ac:dyDescent="0.4">
      <c r="A50" s="7" t="s">
        <v>108</v>
      </c>
      <c r="B50" s="7" t="s">
        <v>105</v>
      </c>
      <c r="C50" s="12">
        <f>mesclun_beds</f>
        <v>30</v>
      </c>
      <c r="D50" s="5" t="str">
        <f>IF(mesclun_beds=mesclun_max_beds,"Pass","Fail")</f>
        <v>Pass</v>
      </c>
    </row>
    <row r="51" spans="1:6" x14ac:dyDescent="0.4">
      <c r="A51" s="7" t="s">
        <v>109</v>
      </c>
      <c r="B51" s="7" t="s">
        <v>109</v>
      </c>
      <c r="C51" s="5" t="str">
        <f>IF(AND(mesclun_beds&gt;carrot_beds,carrot_beds&gt;tomato_beds),"Mesclun &gt; Carrots &gt; Tomatoes","Different ranking")</f>
        <v>Mesclun &gt; Carrots &gt; Tomatoes</v>
      </c>
      <c r="D51" s="5" t="str">
        <f>IF(AND(mesclun_beds&gt;carrot_beds,carrot_beds&gt;tomato_beds),"Pass","Fail")</f>
        <v>Pass</v>
      </c>
    </row>
    <row r="53" spans="1:6" x14ac:dyDescent="0.4">
      <c r="A53" s="23" t="s">
        <v>110</v>
      </c>
    </row>
    <row r="54" spans="1:6" x14ac:dyDescent="0.4">
      <c r="A54" s="23" t="s">
        <v>111</v>
      </c>
      <c r="B54" s="23" t="s">
        <v>112</v>
      </c>
      <c r="C54" s="23" t="s">
        <v>113</v>
      </c>
      <c r="D54" s="24" t="s">
        <v>114</v>
      </c>
      <c r="E54" s="23" t="s">
        <v>115</v>
      </c>
      <c r="F54" s="23" t="s">
        <v>116</v>
      </c>
    </row>
    <row r="55" spans="1:6" x14ac:dyDescent="0.4">
      <c r="A55" t="s">
        <v>117</v>
      </c>
      <c r="B55" t="s">
        <v>118</v>
      </c>
      <c r="C55" s="27">
        <f>tomato_beds+carrot_beds+mesclun_beds</f>
        <v>60</v>
      </c>
      <c r="D55" s="25" t="s">
        <v>119</v>
      </c>
      <c r="E55">
        <f>total_beds</f>
        <v>64</v>
      </c>
      <c r="F55" t="str">
        <f>IF(C55&lt;=E55,"OK","VIOLATED")</f>
        <v>OK</v>
      </c>
    </row>
    <row r="56" spans="1:6" x14ac:dyDescent="0.4">
      <c r="A56" t="s">
        <v>120</v>
      </c>
      <c r="B56" t="s">
        <v>72</v>
      </c>
      <c r="C56">
        <f>tomato_beds</f>
        <v>10</v>
      </c>
      <c r="D56" s="25" t="s">
        <v>119</v>
      </c>
      <c r="E56">
        <f>tomato_max_beds</f>
        <v>20</v>
      </c>
      <c r="F56" t="str">
        <f>IF(C56&lt;=E56,"OK","VIOLATED")</f>
        <v>OK</v>
      </c>
    </row>
    <row r="57" spans="1:6" x14ac:dyDescent="0.4">
      <c r="A57" t="s">
        <v>121</v>
      </c>
      <c r="B57" t="s">
        <v>74</v>
      </c>
      <c r="C57">
        <f>carrot_beds</f>
        <v>20</v>
      </c>
      <c r="D57" s="25" t="s">
        <v>119</v>
      </c>
      <c r="E57">
        <f>carrot_max_beds</f>
        <v>20</v>
      </c>
      <c r="F57" t="str">
        <f>IF(C57&lt;=E57,"OK","VIOLATED")</f>
        <v>OK</v>
      </c>
    </row>
    <row r="58" spans="1:6" x14ac:dyDescent="0.4">
      <c r="A58" t="s">
        <v>122</v>
      </c>
      <c r="B58" t="s">
        <v>76</v>
      </c>
      <c r="C58">
        <f>mesclun_beds</f>
        <v>30</v>
      </c>
      <c r="D58" s="25" t="s">
        <v>119</v>
      </c>
      <c r="E58">
        <f>mesclun_max_beds</f>
        <v>30</v>
      </c>
      <c r="F58" t="str">
        <f>IF(C58&lt;=E58,"OK","VIOLATED")</f>
        <v>OK</v>
      </c>
    </row>
    <row r="59" spans="1:6" x14ac:dyDescent="0.4">
      <c r="A59" t="s">
        <v>123</v>
      </c>
      <c r="B59" t="s">
        <v>46</v>
      </c>
      <c r="C59" s="27">
        <f>total_labor_hours</f>
        <v>5277.2161142738878</v>
      </c>
      <c r="D59" s="28" t="s">
        <v>119</v>
      </c>
      <c r="E59" s="27">
        <f>total_labor_capacity</f>
        <v>6480</v>
      </c>
      <c r="F59" t="str">
        <f>IF(C59&lt;=E59,"OK","VIOLATED")</f>
        <v>OK</v>
      </c>
    </row>
    <row r="60" spans="1:6" x14ac:dyDescent="0.4">
      <c r="A60" t="s">
        <v>124</v>
      </c>
      <c r="B60" t="s">
        <v>50</v>
      </c>
      <c r="C60">
        <f>temp_workers_needed</f>
        <v>4</v>
      </c>
      <c r="D60" s="25" t="s">
        <v>119</v>
      </c>
      <c r="E60">
        <f>max_workers</f>
        <v>4</v>
      </c>
      <c r="F60" t="str">
        <f>IF(C60&lt;=E60,"OK","VIOLATED")</f>
        <v>OK</v>
      </c>
    </row>
    <row r="61" spans="1:6" x14ac:dyDescent="0.4">
      <c r="A61" s="23" t="s">
        <v>125</v>
      </c>
      <c r="C61" s="23" t="str">
        <f>IF(COUNTIF(F55:F60,"VIOLATED")=0,"FEASIBLE","INFEASIBLE")</f>
        <v>FEASIBLE</v>
      </c>
    </row>
    <row r="63" spans="1:6" x14ac:dyDescent="0.4">
      <c r="A63" s="23" t="s">
        <v>159</v>
      </c>
    </row>
    <row r="64" spans="1:6" x14ac:dyDescent="0.4">
      <c r="A64" t="s">
        <v>160</v>
      </c>
      <c r="C64" s="26">
        <v>10</v>
      </c>
    </row>
    <row r="65" spans="1:3" x14ac:dyDescent="0.4">
      <c r="A65" s="23" t="s">
        <v>161</v>
      </c>
      <c r="C65" s="26">
        <v>20</v>
      </c>
    </row>
    <row r="66" spans="1:3" x14ac:dyDescent="0.4">
      <c r="A66" t="s">
        <v>162</v>
      </c>
      <c r="C66" s="26">
        <v>30</v>
      </c>
    </row>
    <row r="67" spans="1:3" x14ac:dyDescent="0.4">
      <c r="A67" s="23" t="s">
        <v>163</v>
      </c>
      <c r="C67" s="23" t="str">
        <f>IF(AND(tomato_beds=C64,carrot_beds=C65,mesclun_beds=C66),"MATCH — global optimum","Differs — rerun Solver with Evolutionary")</f>
        <v>MATCH — global optimum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50</vt:i4>
      </vt:variant>
    </vt:vector>
  </HeadingPairs>
  <TitlesOfParts>
    <vt:vector size="53" baseType="lpstr">
      <vt:lpstr>Inputs</vt:lpstr>
      <vt:lpstr>Labor &amp; Cost</vt:lpstr>
      <vt:lpstr>Optimization</vt:lpstr>
      <vt:lpstr>blended_labor_rate</vt:lpstr>
      <vt:lpstr>carrot_beds</vt:lpstr>
      <vt:lpstr>carrot_dim_rate</vt:lpstr>
      <vt:lpstr>carrot_fert_cost</vt:lpstr>
      <vt:lpstr>carrot_fertilizer_cost</vt:lpstr>
      <vt:lpstr>carrot_labor_hours</vt:lpstr>
      <vt:lpstr>carrot_labor_hrs_wk_bed</vt:lpstr>
      <vt:lpstr>carrot_max_beds</vt:lpstr>
      <vt:lpstr>carrot_price</vt:lpstr>
      <vt:lpstr>carrot_revenue</vt:lpstr>
      <vt:lpstr>farmer_field_share</vt:lpstr>
      <vt:lpstr>farmer_hours</vt:lpstr>
      <vt:lpstr>farmer_hours_used</vt:lpstr>
      <vt:lpstr>farmer_labor_cost</vt:lpstr>
      <vt:lpstr>farmer_rate</vt:lpstr>
      <vt:lpstr>farmer_salary</vt:lpstr>
      <vt:lpstr>fixed_costs</vt:lpstr>
      <vt:lpstr>max_workers</vt:lpstr>
      <vt:lpstr>mesclun_beds</vt:lpstr>
      <vt:lpstr>mesclun_dim_rate</vt:lpstr>
      <vt:lpstr>mesclun_fert_cost</vt:lpstr>
      <vt:lpstr>mesclun_fertilizer_cost</vt:lpstr>
      <vt:lpstr>mesclun_labor_hours</vt:lpstr>
      <vt:lpstr>mesclun_labor_hrs_wk_bed</vt:lpstr>
      <vt:lpstr>mesclun_max_beds</vt:lpstr>
      <vt:lpstr>mesclun_price</vt:lpstr>
      <vt:lpstr>mesclun_revenue</vt:lpstr>
      <vt:lpstr>season_weeks</vt:lpstr>
      <vt:lpstr>temp_hours_used</vt:lpstr>
      <vt:lpstr>temp_labor_cost</vt:lpstr>
      <vt:lpstr>temp_workers_needed</vt:lpstr>
      <vt:lpstr>tomato_beds</vt:lpstr>
      <vt:lpstr>tomato_dim_rate</vt:lpstr>
      <vt:lpstr>tomato_fert_cost</vt:lpstr>
      <vt:lpstr>tomato_fertilizer_cost</vt:lpstr>
      <vt:lpstr>tomato_labor_hours</vt:lpstr>
      <vt:lpstr>tomato_labor_hrs_wk_bed</vt:lpstr>
      <vt:lpstr>tomato_max_beds</vt:lpstr>
      <vt:lpstr>tomato_price</vt:lpstr>
      <vt:lpstr>tomato_revenue</vt:lpstr>
      <vt:lpstr>total_beds</vt:lpstr>
      <vt:lpstr>total_fertilizer_cost</vt:lpstr>
      <vt:lpstr>total_labor_capacity</vt:lpstr>
      <vt:lpstr>total_labor_cost</vt:lpstr>
      <vt:lpstr>total_labor_hours</vt:lpstr>
      <vt:lpstr>total_profit</vt:lpstr>
      <vt:lpstr>total_revenue</vt:lpstr>
      <vt:lpstr>worker_flat_cost</vt:lpstr>
      <vt:lpstr>worker_hours_each</vt:lpstr>
      <vt:lpstr>worker_rate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Cassandra Joy Ecraela-Pantoca</cp:lastModifiedBy>
  <cp:revision>0</cp:revision>
  <dcterms:created xsi:type="dcterms:W3CDTF">2026-09-11T07:16:09Z</dcterms:created>
  <dcterms:modified xsi:type="dcterms:W3CDTF">2026-09-11T23:16:51Z</dcterms:modified>
  <dc:language>en-US</dc:language>
</cp:coreProperties>
</file>